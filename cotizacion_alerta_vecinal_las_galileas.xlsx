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Auditoría de Desarrollo" sheetId="2" state="visible" r:id="rId2"/>
    <sheet name="Pros, Contras y Similitudes" sheetId="3" state="visible" r:id="rId3"/>
    <sheet name="Regla Teléfonos y Cu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475569"/>
      <sz val="10"/>
    </font>
    <font>
      <name val="Segoe UI"/>
      <i val="1"/>
      <color rgb="0064748B"/>
      <sz val="8.5"/>
    </font>
    <font>
      <name val="Segoe UI"/>
      <b val="1"/>
      <color rgb="001E3A8A"/>
      <sz val="11"/>
    </font>
    <font>
      <name val="Segoe UI"/>
      <b val="1"/>
      <color rgb="000F172A"/>
      <sz val="9.5"/>
    </font>
    <font>
      <name val="Segoe UI"/>
      <color rgb="001E293B"/>
      <sz val="9.5"/>
    </font>
    <font>
      <name val="Segoe UI"/>
      <b val="1"/>
      <color rgb="00FFFFFF"/>
      <sz val="9.5"/>
    </font>
    <font>
      <name val="Segoe UI"/>
      <b val="1"/>
      <color rgb="00DC2626"/>
      <sz val="10"/>
    </font>
    <font>
      <name val="Segoe UI"/>
      <b val="1"/>
      <color rgb="00059669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059669"/>
        <bgColor rgb="00059669"/>
      </patternFill>
    </fill>
    <fill>
      <patternFill patternType="solid">
        <fgColor rgb="00ECFDF5"/>
        <bgColor rgb="00ECFDF5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164" fontId="5" fillId="0" borderId="1" pivotButton="0" quotePrefix="0" xfId="0"/>
    <xf numFmtId="0" fontId="8" fillId="3" borderId="1" pivotButton="0" quotePrefix="0" xfId="0"/>
    <xf numFmtId="164" fontId="8" fillId="3" borderId="1" pivotButton="0" quotePrefix="0" xfId="0"/>
    <xf numFmtId="0" fontId="4" fillId="4" borderId="2" pivotButton="0" quotePrefix="0" xfId="0"/>
    <xf numFmtId="0" fontId="6" fillId="4" borderId="2" pivotButton="0" quotePrefix="0" xfId="0"/>
    <xf numFmtId="164" fontId="6" fillId="4" borderId="2" pivotButton="0" quotePrefix="0" xfId="0"/>
    <xf numFmtId="164" fontId="4" fillId="4" borderId="2" pivotButton="0" quotePrefix="0" xfId="0"/>
    <xf numFmtId="0" fontId="7" fillId="5" borderId="0" applyAlignment="1" pivotButton="0" quotePrefix="0" xfId="0">
      <alignment horizontal="left"/>
    </xf>
    <xf numFmtId="0" fontId="7" fillId="5" borderId="0" applyAlignment="1" pivotButton="0" quotePrefix="0" xfId="0">
      <alignment horizontal="center"/>
    </xf>
    <xf numFmtId="0" fontId="9" fillId="6" borderId="1" pivotButton="0" quotePrefix="0" xfId="0"/>
    <xf numFmtId="0" fontId="6" fillId="6" borderId="1" pivotButton="0" quotePrefix="0" xfId="0"/>
    <xf numFmtId="164" fontId="9" fillId="6" borderId="1" pivotButton="0" quotePrefix="0" xfId="0"/>
    <xf numFmtId="0" fontId="6" fillId="0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7" borderId="1" pivotButton="0" quotePrefix="0" xfId="0"/>
    <xf numFmtId="164" fontId="6" fillId="7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/>
    </xf>
    <xf numFmtId="0" fontId="0" fillId="4" borderId="2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48" customWidth="1" min="4" max="4"/>
  </cols>
  <sheetData>
    <row r="1">
      <c r="A1" s="1" t="inlineStr">
        <is>
          <t>AUDITORÍA TÉCNICA Y COTIZACIÓN COMUNITARIA</t>
        </is>
      </c>
    </row>
    <row r="2">
      <c r="A2" s="2" t="inlineStr">
        <is>
          <t>Sistema de Seguridad Vecinal 'Alerta Vecinal Las Galileas'</t>
        </is>
      </c>
    </row>
    <row r="3">
      <c r="A3" s="3" t="inlineStr">
        <is>
          <t>Villa Escuadrón Galilea • Coronel, Región del Biobío • Octubre 2026</t>
        </is>
      </c>
    </row>
    <row r="5">
      <c r="A5" s="4" t="inlineStr">
        <is>
          <t>METADATOS DEL SISTEMA Y SOLUCIÓN</t>
        </is>
      </c>
    </row>
    <row r="6">
      <c r="A6" s="5" t="inlineStr">
        <is>
          <t>Beneficiarios:</t>
        </is>
      </c>
      <c r="B6" s="6" t="inlineStr">
        <is>
          <t>Vecinos y Adultos Mayores de Las Galileas</t>
        </is>
      </c>
    </row>
    <row r="7">
      <c r="A7" s="5" t="inlineStr">
        <is>
          <t>Grupo Inicial Base:</t>
        </is>
      </c>
      <c r="B7" s="6" t="inlineStr">
        <is>
          <t>10 Casas / Viviendas (Con opción 11 a 20)</t>
        </is>
      </c>
    </row>
    <row r="8">
      <c r="A8" s="5" t="inlineStr">
        <is>
          <t>Tipo de Solución:</t>
        </is>
      </c>
      <c r="B8" s="6" t="inlineStr">
        <is>
          <t>Plataforma Digital Comunitaria de Seguridad Vecinal</t>
        </is>
      </c>
    </row>
    <row r="9">
      <c r="A9" s="5" t="inlineStr">
        <is>
          <t>Dedicación Técnica:</t>
        </is>
      </c>
      <c r="B9" s="6" t="inlineStr">
        <is>
          <t>~130 a 160 Horas Efectivas de Ingeniería (~2 Meses de Trabajo)</t>
        </is>
      </c>
    </row>
    <row r="10">
      <c r="A10" s="5" t="inlineStr">
        <is>
          <t>Valor Real Comercial de Desarrollo:</t>
        </is>
      </c>
      <c r="B10" s="6" t="inlineStr">
        <is>
          <t>$1.370.000 CLP (Tarifa mínima freelance en Chile: ~$10.538/hr)</t>
        </is>
      </c>
    </row>
    <row r="11">
      <c r="A11" s="5" t="inlineStr">
        <is>
          <t>Costo Alarma Tradicional de Poste:</t>
        </is>
      </c>
      <c r="B11" s="6" t="inlineStr">
        <is>
          <t>$1.370.000 CLP (Central + bocina + 20 controles + cableado)</t>
        </is>
      </c>
    </row>
    <row r="12">
      <c r="A12" s="5" t="inlineStr">
        <is>
          <t>Costo Servidores Cloud:</t>
        </is>
      </c>
      <c r="B12" s="6" t="inlineStr">
        <is>
          <t>Google Firebase Spark: $0 CLP / mes permanente</t>
        </is>
      </c>
    </row>
    <row r="14">
      <c r="A14" s="4" t="inlineStr">
        <is>
          <t>COMPARATIVA: VALOR REAL DE MERCADO VS APORTE COMUNITARIO</t>
        </is>
      </c>
    </row>
    <row r="15">
      <c r="A15" s="7" t="inlineStr">
        <is>
          <t>Concepto</t>
        </is>
      </c>
      <c r="B15" s="8" t="inlineStr">
        <is>
          <t>Horas Reales</t>
        </is>
      </c>
      <c r="C15" s="8" t="inlineStr">
        <is>
          <t>Tarifa Mercado</t>
        </is>
      </c>
      <c r="D15" s="8" t="inlineStr">
        <is>
          <t>Total (CLP)</t>
        </is>
      </c>
    </row>
    <row r="16">
      <c r="A16" s="9" t="inlineStr">
        <is>
          <t>Valor Comercial y Técnico Real del Software</t>
        </is>
      </c>
      <c r="B16" s="10" t="n">
        <v>130</v>
      </c>
      <c r="C16" s="11" t="n">
        <v>10538.46</v>
      </c>
      <c r="D16" s="12" t="n">
        <v>1370000</v>
      </c>
    </row>
    <row r="17">
      <c r="A17" s="13" t="inlineStr">
        <is>
          <t>Subsidio Social Vecinal Solidario (-78% Descuento)</t>
        </is>
      </c>
      <c r="B17" s="10" t="inlineStr"/>
      <c r="C17" s="11" t="inlineStr"/>
      <c r="D17" s="14" t="n">
        <v>-1070000</v>
      </c>
    </row>
    <row r="18">
      <c r="A18" s="15" t="inlineStr">
        <is>
          <t>APORTE TOTAL COMUNITARIO A COBRAR (10 CASAS)</t>
        </is>
      </c>
      <c r="B18" s="16" t="inlineStr"/>
      <c r="C18" s="17" t="inlineStr"/>
      <c r="D18" s="18">
        <f>D15+D16</f>
        <v/>
      </c>
    </row>
    <row r="20">
      <c r="A20" s="4" t="inlineStr">
        <is>
          <t>PLANES DE APORTE POR VIVIENDA ($30.000 CLP POR CASA)</t>
        </is>
      </c>
    </row>
    <row r="21">
      <c r="A21" s="19" t="inlineStr">
        <is>
          <t>Modalidad de Pago</t>
        </is>
      </c>
      <c r="B21" s="20" t="inlineStr">
        <is>
          <t>Plazo / Cuotas</t>
        </is>
      </c>
      <c r="C21" s="20" t="inlineStr">
        <is>
          <t>Monto por Casa</t>
        </is>
      </c>
      <c r="D21" s="19" t="inlineStr">
        <is>
          <t>Impacto Diario</t>
        </is>
      </c>
    </row>
    <row r="22">
      <c r="A22" s="21" t="inlineStr">
        <is>
          <t>Plan Preferencial Adulto Mayor PGU</t>
        </is>
      </c>
      <c r="B22" s="22" t="inlineStr">
        <is>
          <t>4 Cuotas Mensuales</t>
        </is>
      </c>
      <c r="C22" s="23" t="n">
        <v>7500</v>
      </c>
      <c r="D22" s="22" t="inlineStr">
        <is>
          <t>$250 CLP al día (Menos de 1 kilo de pan/semana)</t>
        </is>
      </c>
    </row>
    <row r="23">
      <c r="A23" s="10" t="inlineStr">
        <is>
          <t>Plan 3 Cuotas</t>
        </is>
      </c>
      <c r="B23" s="10" t="inlineStr">
        <is>
          <t>3 Cuotas Mensuales</t>
        </is>
      </c>
      <c r="C23" s="11" t="n">
        <v>10000</v>
      </c>
      <c r="D23" s="10" t="inlineStr">
        <is>
          <t>Pago cómodo en 90 días</t>
        </is>
      </c>
    </row>
    <row r="24">
      <c r="A24" s="10" t="inlineStr">
        <is>
          <t>Plan Contado (1 Cuota)</t>
        </is>
      </c>
      <c r="B24" s="10" t="inlineStr">
        <is>
          <t>Pago Único al Entregar</t>
        </is>
      </c>
      <c r="C24" s="11" t="n">
        <v>30000</v>
      </c>
      <c r="D24" s="10" t="inlineStr">
        <is>
          <t>Cancelado al entregar la app instalada</t>
        </is>
      </c>
    </row>
    <row r="26">
      <c r="A26" s="4" t="inlineStr">
        <is>
          <t>MODALIDAD HOGAR PROTEGIDO (REGLA DE TELÉFONOS POR CASA)</t>
        </is>
      </c>
    </row>
    <row r="27">
      <c r="A27" s="5" t="inlineStr">
        <is>
          <t>Teléfonos Incluidos por Casa:</t>
        </is>
      </c>
      <c r="B27" s="6" t="inlineStr">
        <is>
          <t>Hasta 3 teléfonos familiares/cuidadores incluidos sin costo extra ($0)</t>
        </is>
      </c>
    </row>
    <row r="28">
      <c r="A28" s="5" t="inlineStr">
        <is>
          <t>4° Teléfono Adicional (o superior):</t>
        </is>
      </c>
      <c r="B28" s="6" t="inlineStr">
        <is>
          <t>$5.000 CLP pago único por configuración y enlace del dispositivo</t>
        </is>
      </c>
    </row>
    <row r="29">
      <c r="A29" s="5" t="inlineStr">
        <is>
          <t>Aporte Familiar si son 2 personas:</t>
        </is>
      </c>
      <c r="B29" s="6" t="inlineStr">
        <is>
          <t>$3.750 CLP mensual cada una ($125/día)</t>
        </is>
      </c>
    </row>
    <row r="30">
      <c r="A30" s="5" t="inlineStr">
        <is>
          <t>Aporte Familiar si son 3 personas:</t>
        </is>
      </c>
      <c r="B30" s="6" t="inlineStr">
        <is>
          <t>$2.500 CLP mensual cada una ($83/día)</t>
        </is>
      </c>
    </row>
  </sheetData>
  <mergeCells count="4">
    <mergeCell ref="A26:D26"/>
    <mergeCell ref="A20:D20"/>
    <mergeCell ref="A14:D14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6" customWidth="1" min="3" max="3"/>
    <col width="24" customWidth="1" min="4" max="4"/>
    <col width="24" customWidth="1" min="5" max="5"/>
    <col width="65" customWidth="1" min="6" max="6"/>
  </cols>
  <sheetData>
    <row r="1">
      <c r="A1" s="1" t="inlineStr">
        <is>
          <t>AUDITORÍA TÉCNICA DE DESARROLLO (130 HORAS EFECTIVAS)</t>
        </is>
      </c>
    </row>
    <row r="2">
      <c r="A2" s="2" t="inlineStr">
        <is>
          <t>Desglose de módulos funcionales y valor comercial de mercado en Chile ($1.370.000 CLP)</t>
        </is>
      </c>
    </row>
    <row r="4">
      <c r="A4" s="8" t="inlineStr">
        <is>
          <t>N°</t>
        </is>
      </c>
      <c r="B4" s="7" t="inlineStr">
        <is>
          <t>Módulo Funcional del Sistema</t>
        </is>
      </c>
      <c r="C4" s="8" t="inlineStr">
        <is>
          <t>Horas Reales</t>
        </is>
      </c>
      <c r="D4" s="8" t="inlineStr">
        <is>
          <t>Tarifa Mercado (CLP/hr)</t>
        </is>
      </c>
      <c r="E4" s="8" t="inlineStr">
        <is>
          <t>Subtotal Real (CLP)</t>
        </is>
      </c>
      <c r="F4" s="7" t="inlineStr">
        <is>
          <t>Alcance Práctico y Beneficio para la Comunidad</t>
        </is>
      </c>
    </row>
    <row r="5">
      <c r="A5" s="24" t="n">
        <v>1</v>
      </c>
      <c r="B5" s="10" t="inlineStr">
        <is>
          <t>Servicio Nativo 24/7 en Segundo Plano (Monitoreo Continuo)</t>
        </is>
      </c>
      <c r="C5" s="24" t="n">
        <v>25</v>
      </c>
      <c r="D5" s="11" t="n">
        <v>10400</v>
      </c>
      <c r="E5" s="11" t="n">
        <v>260000</v>
      </c>
      <c r="F5" s="10" t="inlineStr">
        <is>
          <t>Mantiene la app activa en reposo, sondeo cada 3.5s y encendido automático de pantalla</t>
        </is>
      </c>
    </row>
    <row r="6">
      <c r="A6" s="25" t="n">
        <v>2</v>
      </c>
      <c r="B6" s="26" t="inlineStr">
        <is>
          <t>Interfaz Accesible Adulto Mayor (Alto Contraste y Temas)</t>
        </is>
      </c>
      <c r="C6" s="25" t="n">
        <v>30</v>
      </c>
      <c r="D6" s="27" t="n">
        <v>10500</v>
      </c>
      <c r="E6" s="27" t="n">
        <v>315000</v>
      </c>
      <c r="F6" s="26" t="inlineStr">
        <is>
          <t>Botones táctiles gigantes, alto contraste, modo claro/oscuro y menú simplificado sin menús difíciles</t>
        </is>
      </c>
    </row>
    <row r="7">
      <c r="A7" s="24" t="n">
        <v>3</v>
      </c>
      <c r="B7" s="10" t="inlineStr">
        <is>
          <t>Motor de Bypass de Audio al 100% y 3 Sirenas Acústicas</t>
        </is>
      </c>
      <c r="C7" s="24" t="n">
        <v>25</v>
      </c>
      <c r="D7" s="11" t="n">
        <v>10400</v>
      </c>
      <c r="E7" s="11" t="n">
        <v>260000</v>
      </c>
      <c r="F7" s="10" t="inlineStr">
        <is>
          <t>3 sirenas dedicadas (Robo, Incendio, Médico), bypass de silencio y volumen al 100% nocturno</t>
        </is>
      </c>
    </row>
    <row r="8">
      <c r="A8" s="25" t="n">
        <v>4</v>
      </c>
      <c r="B8" s="26" t="inlineStr">
        <is>
          <t>Panel Administrador, Biometría (Huella) y Actas PDF con QR</t>
        </is>
      </c>
      <c r="C8" s="25" t="n">
        <v>30</v>
      </c>
      <c r="D8" s="27" t="n">
        <v>10500</v>
      </c>
      <c r="E8" s="27" t="n">
        <v>315000</v>
      </c>
      <c r="F8" s="26" t="inlineStr">
        <is>
          <t>Acceso seguro por huella dactilar, actas policiales oficiales en PDF con mapa y QR para Carabineros</t>
        </is>
      </c>
    </row>
    <row r="9">
      <c r="A9" s="24" t="n">
        <v>5</v>
      </c>
      <c r="B9" s="10" t="inlineStr">
        <is>
          <t>Padrón Territorial de Coronel, Validación Anti-Errores y Campo</t>
        </is>
      </c>
      <c r="C9" s="24" t="n">
        <v>20</v>
      </c>
      <c r="D9" s="11" t="n">
        <v>11000</v>
      </c>
      <c r="E9" s="11" t="n">
        <v>220000</v>
      </c>
      <c r="F9" s="10" t="inlineStr">
        <is>
          <t>Sectores y pasajes oficiales de Coronel, bloqueo de datos erróneos y calibración en terreno en Las Galileas</t>
        </is>
      </c>
    </row>
    <row r="10">
      <c r="A10" s="28" t="inlineStr"/>
      <c r="B10" s="9" t="inlineStr">
        <is>
          <t>VALOR COMERCIAL Y TÉCNICO REAL (130 HORAS EFECTIVAS)</t>
        </is>
      </c>
      <c r="C10" s="29">
        <f>SUM(C5:C9)</f>
        <v/>
      </c>
      <c r="D10" s="28" t="inlineStr"/>
      <c r="E10" s="12">
        <f>SUM(E5:E9)</f>
        <v/>
      </c>
      <c r="F10" s="28" t="inlineStr">
        <is>
          <t>Costo mínimo que cobraría un desarrollador o consultora de software en Chile</t>
        </is>
      </c>
    </row>
    <row r="11">
      <c r="A11" s="28" t="inlineStr"/>
      <c r="B11" s="13" t="inlineStr">
        <is>
          <t>SUBSIDIO SOCIAL VECINAL SOLIDARIO (-78% DESCUENTO)</t>
        </is>
      </c>
      <c r="C11" s="28" t="inlineStr"/>
      <c r="D11" s="28" t="inlineStr"/>
      <c r="E11" s="14" t="n">
        <v>-1070000</v>
      </c>
      <c r="F11" s="28" t="inlineStr">
        <is>
          <t>Descuento solidario voluntario para los adultos mayores y vecinos</t>
        </is>
      </c>
    </row>
    <row r="12">
      <c r="A12" s="30" t="inlineStr"/>
      <c r="B12" s="15" t="inlineStr">
        <is>
          <t>APORTE TOTAL COMUNITARIO A COBRAR (10 CASAS)</t>
        </is>
      </c>
      <c r="C12" s="30" t="inlineStr"/>
      <c r="D12" s="30" t="inlineStr"/>
      <c r="E12" s="18">
        <f>E10+E11</f>
        <v/>
      </c>
      <c r="F12" s="30" t="inlineStr">
        <is>
          <t>Monto final acordado ($30.000 por casa)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50" customWidth="1" min="3" max="3"/>
    <col width="48" customWidth="1" min="4" max="4"/>
  </cols>
  <sheetData>
    <row r="1">
      <c r="A1" s="1" t="inlineStr">
        <is>
          <t>COMPARATIVA INTEGRAL: ALARMA DE POSTE VS APLICACIÓN MÓVIL</t>
        </is>
      </c>
    </row>
    <row r="2">
      <c r="A2" s="2" t="inlineStr">
        <is>
          <t>Análisis de puntos de encuentro, ventajas (pros), desventajas (contras) y evaluación funcional</t>
        </is>
      </c>
    </row>
    <row r="4">
      <c r="A4" s="4" t="inlineStr">
        <is>
          <t>1. ¿EN QUÉ SE PARECEN AMBOS SISTEMAS? (SIMILITUDES Y PROPÓSITO COMÚN)</t>
        </is>
      </c>
    </row>
    <row r="5">
      <c r="A5" s="5" t="inlineStr">
        <is>
          <t>• Misión de Protección Comunitaria:</t>
        </is>
      </c>
      <c r="B5" s="6" t="inlineStr">
        <is>
          <t>Ambos sistemas buscan resguardar la seguridad de las familias, prevenir delitos y disuadir a extraños.</t>
        </is>
      </c>
    </row>
    <row r="6">
      <c r="A6" s="5" t="inlineStr">
        <is>
          <t>• Alerta Sonora de Alta Potencia:</t>
        </is>
      </c>
      <c r="B6" s="6" t="inlineStr">
        <is>
          <t>Ambos emiten un sonido de alarma potente para despertar la atención inmediata del entorno.</t>
        </is>
      </c>
    </row>
    <row r="7">
      <c r="A7" s="5" t="inlineStr">
        <is>
          <t>• Dependencia de la Unión Vecinal:</t>
        </is>
      </c>
      <c r="B7" s="6" t="inlineStr">
        <is>
          <t>Ambos requieren de la organización, solidaridad y respuesta coordinada de los vecinos para ser efectivos.</t>
        </is>
      </c>
    </row>
    <row r="9">
      <c r="A9" s="4" t="inlineStr">
        <is>
          <t>2. CUADRO DE VENTAJAS Y DESVENTAJAS (PROS Y CONTRAS)</t>
        </is>
      </c>
      <c r="D9" t="inlineStr"/>
    </row>
    <row r="10">
      <c r="A10" s="7" t="inlineStr">
        <is>
          <t>Criterio</t>
        </is>
      </c>
      <c r="B10" s="8" t="inlineStr">
        <is>
          <t>Alarma Tradicional de Poste (Sirena de Calle)</t>
        </is>
      </c>
      <c r="C10" s="8" t="inlineStr">
        <is>
          <t>Alerta Vecinal Las Galileas (Tu Sistema)</t>
        </is>
      </c>
    </row>
    <row r="11">
      <c r="A11" s="21" t="inlineStr">
        <is>
          <t>PROS (Ventajas Principales)</t>
        </is>
      </c>
      <c r="B11" s="31" t="inlineStr">
        <is>
          <t>• Sirena fuerte en la calle inmediata (120 dB)
• Control remoto con botón físico simple
• No requiere teléfono inteligente en la casa</t>
        </is>
      </c>
      <c r="C11" s="31" t="inlineStr">
        <is>
          <t>• Muy económica ($30.000/casa en 4 cuotas de $7.500)
• Alcance ilimitado en todo Coronel y Chile (4G/WiFi)
• Identifica vecino, pasaje y número de casa exacto
• 3 Sirenas inteligentes (Robo, Fuego, Médico)
• Bypass al 100% que despierta aun en silencio
• Actas policiales PDF con mapa y QR para Carabineros
• Envío de fotos a WhatsApp en segundos
• Costo mensual $0 permanente (sin chip ni mantención)
• Hasta 3 teléfonos por familia y $5.000 el 4° celular</t>
        </is>
      </c>
    </row>
    <row r="12">
      <c r="A12" s="13" t="inlineStr">
        <is>
          <t>CONTRAS (Desventajas y Limitaciones)</t>
        </is>
      </c>
      <c r="B12" s="31" t="inlineStr">
        <is>
          <t>• Costo altísimo ($1.370.000 CLP para 10 casas)
• Alcance mínimo: solo 30 metros del poste
• Ruido ciego: nadie sabe qué vecino la activó ni la casa
• Gasto mensual obligatorio en recargas de chip (~$15k/mes)
• Se apaga si cortan la luz o falla la batería
• No saca fotos ni entrega actas a Carabineros
• Controles remotos frágiles y fáciles de perder ($15k c/u)</t>
        </is>
      </c>
      <c r="C12" s="31" t="inlineStr">
        <is>
          <t>• Requiere teléfono Android con acceso a internet
• Requiere inducción inicial de 5 min a adultos mayores</t>
        </is>
      </c>
    </row>
    <row r="14">
      <c r="A14" s="4" t="inlineStr">
        <is>
          <t>3. MATRIZ COMPARATIVA DE ASPECTOS Y COSTOS</t>
        </is>
      </c>
    </row>
    <row r="15">
      <c r="A15" s="7" t="inlineStr">
        <is>
          <t>Aspecto Evaluado</t>
        </is>
      </c>
      <c r="B15" s="8" t="inlineStr">
        <is>
          <t>Alarma Tradicional de Poste</t>
        </is>
      </c>
      <c r="C15" s="8" t="inlineStr">
        <is>
          <t>Alerta Vecinal Las Galileas (Tu Sistema)</t>
        </is>
      </c>
      <c r="D15" s="7" t="inlineStr">
        <is>
          <t>Diferencia y Beneficio</t>
        </is>
      </c>
    </row>
    <row r="16">
      <c r="A16" s="10" t="inlineStr">
        <is>
          <t>Costo Total (10 Casas)</t>
        </is>
      </c>
      <c r="B16" s="14" t="n">
        <v>1370000</v>
      </c>
      <c r="C16" s="23" t="n">
        <v>300000</v>
      </c>
      <c r="D16" s="10" t="inlineStr">
        <is>
          <t>Ahorro directo de $1.070.000 CLP (-78%) para los vecinos</t>
        </is>
      </c>
    </row>
    <row r="17">
      <c r="A17" s="10" t="inlineStr">
        <is>
          <t>Gasto Mensual de Operación</t>
        </is>
      </c>
      <c r="B17" s="10" t="inlineStr">
        <is>
          <t>~$15.000 CLP / mes (Chip GSM y saldo)</t>
        </is>
      </c>
      <c r="C17" s="10" t="inlineStr">
        <is>
          <t>$0 CLP / mes (Capa gratuita en la nube)</t>
        </is>
      </c>
      <c r="D17" s="10" t="inlineStr">
        <is>
          <t>Sin cobros mensuales ni recargas para los vecinos</t>
        </is>
      </c>
    </row>
    <row r="18">
      <c r="A18" s="10" t="inlineStr">
        <is>
          <t>Alcance y Cobertura</t>
        </is>
      </c>
      <c r="B18" s="10" t="inlineStr">
        <is>
          <t>Apenas 30 metros alrededor del poste</t>
        </is>
      </c>
      <c r="C18" s="10" t="inlineStr">
        <is>
          <t>Ilimitado en todo Coronel y todo Chile</t>
        </is>
      </c>
      <c r="D18" s="10" t="inlineStr">
        <is>
          <t>Protege en el consultorio, trabajo, centro y dentro de la casa</t>
        </is>
      </c>
    </row>
    <row r="19">
      <c r="A19" s="10" t="inlineStr">
        <is>
          <t>Identificación del Vecino</t>
        </is>
      </c>
      <c r="B19" s="10" t="inlineStr">
        <is>
          <t>Ruido ciego (No se sabe quién la tocó)</t>
        </is>
      </c>
      <c r="C19" s="10" t="inlineStr">
        <is>
          <t>Nombre completo, pasaje, casa y teléfono</t>
        </is>
      </c>
      <c r="D19" s="10" t="inlineStr">
        <is>
          <t>Respuesta dirigida exactamente al hogar en peligro</t>
        </is>
      </c>
    </row>
    <row r="20">
      <c r="A20" s="10" t="inlineStr">
        <is>
          <t>Tipos de Emergencia</t>
        </is>
      </c>
      <c r="B20" s="10" t="inlineStr">
        <is>
          <t>Sonido único genérico</t>
        </is>
      </c>
      <c r="C20" s="10" t="inlineStr">
        <is>
          <t>3 Sirenas Específicas (Robo, Fuego, Salud)</t>
        </is>
      </c>
      <c r="D20" s="10" t="inlineStr">
        <is>
          <t>Vecinos saben si llamar a Bomberos, Carabineros o SAMU</t>
        </is>
      </c>
    </row>
    <row r="21">
      <c r="A21" s="10" t="inlineStr">
        <is>
          <t>Respuesta Nocturna en Pieza</t>
        </is>
      </c>
      <c r="B21" s="10" t="inlineStr">
        <is>
          <t>Baja audición si duermes con ventanas cerradas</t>
        </is>
      </c>
      <c r="C21" s="10" t="inlineStr">
        <is>
          <t>Bypass de volumen al 100% en el velador</t>
        </is>
      </c>
      <c r="D21" s="10" t="inlineStr">
        <is>
          <t>Despierta al vecino incluso con celular en silencio</t>
        </is>
      </c>
    </row>
    <row r="22">
      <c r="A22" s="10" t="inlineStr">
        <is>
          <t>Evidencia Legal para Carabineros</t>
        </is>
      </c>
      <c r="B22" s="10" t="inlineStr">
        <is>
          <t>Ninguna (No saca fotos ni reportes)</t>
        </is>
      </c>
      <c r="C22" s="10" t="inlineStr">
        <is>
          <t>Acta Policial en PDF con mapa y QR + Fotos</t>
        </is>
      </c>
      <c r="D22" s="10" t="inlineStr">
        <is>
          <t>Prueba oficial válida para denuncias en Carabineros/PDI</t>
        </is>
      </c>
    </row>
  </sheetData>
  <mergeCells count="3">
    <mergeCell ref="A4:B4"/>
    <mergeCell ref="A9:C9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8" customWidth="1" min="3" max="3"/>
    <col width="28" customWidth="1" min="4" max="4"/>
    <col width="38" customWidth="1" min="5" max="5"/>
  </cols>
  <sheetData>
    <row r="1">
      <c r="A1" s="1" t="inlineStr">
        <is>
          <t>MODALIDAD HOGAR PROTEGIDO: HASTA 3 TELÉFONOS POR CASA INCLUIDOS</t>
        </is>
      </c>
    </row>
    <row r="2">
      <c r="A2" s="2" t="inlineStr">
        <is>
          <t>Cuota familiar de $7.500/mes por casa • 4° teléfono adicional: $5.000 pago único</t>
        </is>
      </c>
    </row>
    <row r="4">
      <c r="A4" s="19" t="inlineStr">
        <is>
          <t>Celulares en la Vivienda</t>
        </is>
      </c>
      <c r="B4" s="20" t="inlineStr">
        <is>
          <t>Cuota Total Casa / Mes</t>
        </is>
      </c>
      <c r="C4" s="20" t="inlineStr">
        <is>
          <t>Aporte por Integrante / Mes</t>
        </is>
      </c>
      <c r="D4" s="20" t="inlineStr">
        <is>
          <t>Impacto Diario por Persona</t>
        </is>
      </c>
      <c r="E4" s="20" t="inlineStr">
        <is>
          <t>Costo Adicional Dispositivo</t>
        </is>
      </c>
    </row>
    <row r="5">
      <c r="A5" s="10" t="inlineStr">
        <is>
          <t>1 Teléfono (Adulto Mayor Solo)</t>
        </is>
      </c>
      <c r="B5" s="11" t="n">
        <v>7500</v>
      </c>
      <c r="C5" s="11">
        <f>B5/1</f>
        <v/>
      </c>
      <c r="D5" s="24" t="inlineStr">
        <is>
          <t>$250 CLP al día</t>
        </is>
      </c>
      <c r="E5" s="24" t="inlineStr">
        <is>
          <t>$0 CLP (1 celular incluido)</t>
        </is>
      </c>
    </row>
    <row r="6">
      <c r="A6" s="10" t="inlineStr">
        <is>
          <t>2 Teléfonos (Matrimonio / Pareja)</t>
        </is>
      </c>
      <c r="B6" s="11" t="n">
        <v>7500</v>
      </c>
      <c r="C6" s="11">
        <f>B6/2</f>
        <v/>
      </c>
      <c r="D6" s="24" t="inlineStr">
        <is>
          <t>$125 CLP al día</t>
        </is>
      </c>
      <c r="E6" s="24" t="inlineStr">
        <is>
          <t>$0 CLP (2 celulares incluidos)</t>
        </is>
      </c>
    </row>
    <row r="7">
      <c r="A7" s="10" t="inlineStr">
        <is>
          <t>3 Teléfonos (Familia con Hijo/Cuidador)</t>
        </is>
      </c>
      <c r="B7" s="11" t="n">
        <v>7500</v>
      </c>
      <c r="C7" s="11">
        <f>B7/3</f>
        <v/>
      </c>
      <c r="D7" s="24" t="inlineStr">
        <is>
          <t>$83 CLP al día</t>
        </is>
      </c>
      <c r="E7" s="24" t="inlineStr">
        <is>
          <t>$0 CLP (Hasta 3 celulares incluidos)</t>
        </is>
      </c>
    </row>
    <row r="8">
      <c r="A8" s="10" t="inlineStr">
        <is>
          <t>4 Teléfonos (Familia Extendida)</t>
        </is>
      </c>
      <c r="B8" s="11" t="n">
        <v>7500</v>
      </c>
      <c r="C8" s="11">
        <f>B8/4</f>
        <v/>
      </c>
      <c r="D8" s="24" t="inlineStr">
        <is>
          <t>$62 CLP al día</t>
        </is>
      </c>
      <c r="E8" s="24" t="inlineStr">
        <is>
          <t>+$5.000 CLP pago único (4to celular)</t>
        </is>
      </c>
    </row>
    <row r="9">
      <c r="A9" s="10" t="inlineStr">
        <is>
          <t>5 Teléfonos (Familia Numerosa)</t>
        </is>
      </c>
      <c r="B9" s="11" t="n">
        <v>7500</v>
      </c>
      <c r="C9" s="11">
        <f>B9/5</f>
        <v/>
      </c>
      <c r="D9" s="24" t="inlineStr">
        <is>
          <t>$50 CLP al día</t>
        </is>
      </c>
      <c r="E9" s="24" t="inlineStr">
        <is>
          <t>+$10.000 CLP pago único (4to y 5to celular)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2026-10-18T02:44:26Z</dcterms:created>
  <dcterms:modified xsi:type="dcterms:W3CDTF">2026-10-18T02:44:26Z</dcterms:modified>
</cp:coreProperties>
</file>